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en Ejecutivo" sheetId="1" state="visible" r:id="rId1"/>
    <sheet xmlns:r="http://schemas.openxmlformats.org/officeDocument/2006/relationships" name="📈 Ventas Mensuales" sheetId="2" state="visible" r:id="rId2"/>
    <sheet xmlns:r="http://schemas.openxmlformats.org/officeDocument/2006/relationships" name="💰 Cuenta Resultados" sheetId="3" state="visible" r:id="rId3"/>
    <sheet xmlns:r="http://schemas.openxmlformats.org/officeDocument/2006/relationships" name="🎯 Escenarios" sheetId="4" state="visible" r:id="rId4"/>
    <sheet xmlns:r="http://schemas.openxmlformats.org/officeDocument/2006/relationships" name="🏦 Tesorerí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e3a5f"/>
      <sz val="14"/>
    </font>
    <font>
      <i val="1"/>
      <color rgb="00666666"/>
      <sz val="10"/>
    </font>
    <font>
      <b val="1"/>
      <color rgb="00ffffff"/>
      <sz val="11"/>
    </font>
    <font>
      <color rgb="00ffffff"/>
    </font>
    <font>
      <b val="1"/>
      <color rgb="001e3a5f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6b3c"/>
      </patternFill>
    </fill>
    <fill>
      <patternFill patternType="solid">
        <fgColor rgb="008b1a1a"/>
      </patternFill>
    </fill>
    <fill>
      <patternFill patternType="solid">
        <fgColor rgb="001a2a3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4" fillId="4" borderId="1" applyAlignment="1" pivotButton="0" quotePrefix="0" xfId="0">
      <alignment horizontal="center"/>
    </xf>
    <xf numFmtId="0" fontId="5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6" fillId="2" borderId="0" pivotButton="0" quotePrefix="0" xfId="0"/>
    <xf numFmtId="164" fontId="6" fillId="2" borderId="0" pivotButton="0" quotePrefix="0" xfId="0"/>
    <xf numFmtId="0" fontId="6" fillId="3" borderId="1" pivotButton="0" quotePrefix="0" xfId="0"/>
    <xf numFmtId="164" fontId="6" fillId="3" borderId="1" pivotButton="0" quotePrefix="0" xfId="0"/>
    <xf numFmtId="0" fontId="6" fillId="4" borderId="1" pivotButton="0" quotePrefix="0" xfId="0"/>
    <xf numFmtId="164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2" customWidth="1" min="4" max="4"/>
  </cols>
  <sheetData>
    <row r="1" ht="30" customHeight="1">
      <c r="A1" s="1" t="inlineStr">
        <is>
          <t>ANÁLISIS FINANCIERO TECHACCES SL — EJERCICIO 2024</t>
        </is>
      </c>
    </row>
    <row r="2">
      <c r="A2" s="2" t="inlineStr">
        <is>
          <t>Juan Luis León Rodríguez · Proyecto TechAcces · Mayo 2026</t>
        </is>
      </c>
    </row>
    <row r="4">
      <c r="A4" s="3" t="inlineStr">
        <is>
          <t>KPI</t>
        </is>
      </c>
      <c r="B4" s="3" t="inlineStr">
        <is>
          <t>Valor</t>
        </is>
      </c>
      <c r="C4" s="3" t="inlineStr">
        <is>
          <t>Sobre Ventas</t>
        </is>
      </c>
      <c r="D4" s="3" t="inlineStr">
        <is>
          <t>Semáforo</t>
        </is>
      </c>
    </row>
    <row r="5">
      <c r="A5" s="4" t="inlineStr">
        <is>
          <t>Ventas Totales</t>
        </is>
      </c>
      <c r="B5" s="5" t="n">
        <v>753263.05</v>
      </c>
      <c r="C5" s="6" t="n">
        <v>1</v>
      </c>
      <c r="D5" s="7" t="inlineStr">
        <is>
          <t>✅</t>
        </is>
      </c>
    </row>
    <row r="6">
      <c r="A6" s="4" t="inlineStr">
        <is>
          <t>Margen Bruto</t>
        </is>
      </c>
      <c r="B6" s="5" t="n">
        <v>690688</v>
      </c>
      <c r="C6" s="6" t="n">
        <v>0.9169280240149839</v>
      </c>
      <c r="D6" s="7" t="inlineStr">
        <is>
          <t>✅</t>
        </is>
      </c>
    </row>
    <row r="7">
      <c r="A7" s="4" t="inlineStr">
        <is>
          <t>EBITDA</t>
        </is>
      </c>
      <c r="B7" s="5" t="n">
        <v>211121.61</v>
      </c>
      <c r="C7" s="6" t="n">
        <v>0.280276073544295</v>
      </c>
      <c r="D7" s="7" t="inlineStr">
        <is>
          <t>✅</t>
        </is>
      </c>
    </row>
    <row r="8">
      <c r="A8" s="4" t="inlineStr">
        <is>
          <t>EBIT</t>
        </is>
      </c>
      <c r="B8" s="5" t="n">
        <v>204841.53</v>
      </c>
      <c r="C8" s="6" t="n">
        <v>0.2719389063355756</v>
      </c>
      <c r="D8" s="7" t="inlineStr">
        <is>
          <t>✅</t>
        </is>
      </c>
    </row>
    <row r="9">
      <c r="A9" s="4" t="inlineStr">
        <is>
          <t>Gastos Financieros</t>
        </is>
      </c>
      <c r="B9" s="5" t="n">
        <v>262583.36</v>
      </c>
      <c r="C9" s="6" t="n">
        <v>0.3485945049342324</v>
      </c>
      <c r="D9" s="7" t="inlineStr">
        <is>
          <t>🔴</t>
        </is>
      </c>
    </row>
    <row r="10">
      <c r="A10" s="8" t="inlineStr">
        <is>
          <t>Resultado Final</t>
        </is>
      </c>
      <c r="B10" s="9" t="n">
        <v>-57741.83000000005</v>
      </c>
      <c r="C10" s="10" t="n">
        <v>-0.07665559859865692</v>
      </c>
      <c r="D10" s="11" t="inlineStr">
        <is>
          <t>🔴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6b3c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2" t="inlineStr">
        <is>
          <t>VENTAS MENSUALES 2024</t>
        </is>
      </c>
    </row>
    <row r="2">
      <c r="A2" s="3" t="inlineStr">
        <is>
          <t>Mes</t>
        </is>
      </c>
      <c r="B2" s="3" t="inlineStr">
        <is>
          <t>Ventas Totales</t>
        </is>
      </c>
      <c r="C2" s="3" t="inlineStr">
        <is>
          <t>Ventas B2C</t>
        </is>
      </c>
      <c r="D2" s="3" t="inlineStr">
        <is>
          <t>Ventas B2B</t>
        </is>
      </c>
    </row>
    <row r="3">
      <c r="A3" s="13" t="inlineStr">
        <is>
          <t>Ene</t>
        </is>
      </c>
      <c r="B3" s="14" t="n">
        <v>34870.76</v>
      </c>
      <c r="C3" s="14" t="n">
        <v>9829.290000000001</v>
      </c>
      <c r="D3" s="14" t="n">
        <v>25041.47</v>
      </c>
    </row>
    <row r="4">
      <c r="A4" s="15" t="inlineStr">
        <is>
          <t>Feb</t>
        </is>
      </c>
      <c r="B4" s="16" t="n">
        <v>35987.17</v>
      </c>
      <c r="C4" s="16" t="n">
        <v>8751.469999999999</v>
      </c>
      <c r="D4" s="16" t="n">
        <v>27235.7</v>
      </c>
    </row>
    <row r="5">
      <c r="A5" s="13" t="inlineStr">
        <is>
          <t>Mar</t>
        </is>
      </c>
      <c r="B5" s="14" t="n">
        <v>47607.92000000001</v>
      </c>
      <c r="C5" s="14" t="n">
        <v>11981.89</v>
      </c>
      <c r="D5" s="14" t="n">
        <v>35626.03</v>
      </c>
    </row>
    <row r="6">
      <c r="A6" s="15" t="inlineStr">
        <is>
          <t>Abr</t>
        </is>
      </c>
      <c r="B6" s="16" t="n">
        <v>50290.33</v>
      </c>
      <c r="C6" s="16" t="n">
        <v>15083.69</v>
      </c>
      <c r="D6" s="16" t="n">
        <v>35206.64</v>
      </c>
    </row>
    <row r="7">
      <c r="A7" s="13" t="inlineStr">
        <is>
          <t>May</t>
        </is>
      </c>
      <c r="B7" s="14" t="n">
        <v>54852.16</v>
      </c>
      <c r="C7" s="14" t="n">
        <v>14219.4</v>
      </c>
      <c r="D7" s="14" t="n">
        <v>40632.76</v>
      </c>
    </row>
    <row r="8">
      <c r="A8" s="15" t="inlineStr">
        <is>
          <t>Jun</t>
        </is>
      </c>
      <c r="B8" s="16" t="n">
        <v>57703.33</v>
      </c>
      <c r="C8" s="16" t="n">
        <v>14008.56</v>
      </c>
      <c r="D8" s="16" t="n">
        <v>43694.77</v>
      </c>
    </row>
    <row r="9">
      <c r="A9" s="13" t="inlineStr">
        <is>
          <t>Jul</t>
        </is>
      </c>
      <c r="B9" s="14" t="n">
        <v>40041.1</v>
      </c>
      <c r="C9" s="14" t="n">
        <v>10872.39</v>
      </c>
      <c r="D9" s="14" t="n">
        <v>29168.71</v>
      </c>
    </row>
    <row r="10">
      <c r="A10" s="15" t="inlineStr">
        <is>
          <t>Ago</t>
        </is>
      </c>
      <c r="B10" s="16" t="n">
        <v>36173.24</v>
      </c>
      <c r="C10" s="16" t="n">
        <v>8840.940000000001</v>
      </c>
      <c r="D10" s="16" t="n">
        <v>27332.3</v>
      </c>
    </row>
    <row r="11">
      <c r="A11" s="13" t="inlineStr">
        <is>
          <t>Sep</t>
        </is>
      </c>
      <c r="B11" s="14" t="n">
        <v>58818.1</v>
      </c>
      <c r="C11" s="14" t="n">
        <v>14579.24</v>
      </c>
      <c r="D11" s="14" t="n">
        <v>44238.86</v>
      </c>
    </row>
    <row r="12">
      <c r="A12" s="15" t="inlineStr">
        <is>
          <t>Oct</t>
        </is>
      </c>
      <c r="B12" s="16" t="n">
        <v>64334.18</v>
      </c>
      <c r="C12" s="16" t="n">
        <v>16702.74</v>
      </c>
      <c r="D12" s="16" t="n">
        <v>47631.44</v>
      </c>
    </row>
    <row r="13">
      <c r="A13" s="13" t="inlineStr">
        <is>
          <t>Nov</t>
        </is>
      </c>
      <c r="B13" s="14" t="n">
        <v>123423.21</v>
      </c>
      <c r="C13" s="14" t="n">
        <v>37329.64</v>
      </c>
      <c r="D13" s="14" t="n">
        <v>86093.57000000001</v>
      </c>
    </row>
    <row r="14">
      <c r="A14" s="15" t="inlineStr">
        <is>
          <t>Dic</t>
        </is>
      </c>
      <c r="B14" s="16" t="n">
        <v>149161.55</v>
      </c>
      <c r="C14" s="16" t="n">
        <v>46604.11</v>
      </c>
      <c r="D14" s="16" t="n">
        <v>102557.44</v>
      </c>
    </row>
    <row r="15">
      <c r="A15" s="17" t="inlineStr">
        <is>
          <t>TOTAL</t>
        </is>
      </c>
      <c r="B15" s="18" t="n">
        <v>753263.0499999999</v>
      </c>
      <c r="C15" s="18" t="n">
        <v>208803.36</v>
      </c>
      <c r="D15" s="18" t="n">
        <v>544459.6900000001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</cols>
  <sheetData>
    <row r="1">
      <c r="A1" s="12" t="inlineStr">
        <is>
          <t>CUENTA DE RESULTADOS — TechAcces SL 2024</t>
        </is>
      </c>
    </row>
    <row r="2">
      <c r="A2" s="3" t="inlineStr">
        <is>
          <t>Partida</t>
        </is>
      </c>
      <c r="B2" s="3" t="inlineStr">
        <is>
          <t>Importe</t>
        </is>
      </c>
      <c r="C2" s="3" t="inlineStr">
        <is>
          <t>% s/Ventas</t>
        </is>
      </c>
    </row>
    <row r="3">
      <c r="A3" s="4" t="inlineStr">
        <is>
          <t>(+) Ventas</t>
        </is>
      </c>
      <c r="B3" s="5" t="n">
        <v>753263.05</v>
      </c>
      <c r="C3" s="6" t="n">
        <v>1</v>
      </c>
    </row>
    <row r="4">
      <c r="A4" s="4" t="inlineStr">
        <is>
          <t>(-) Compras</t>
        </is>
      </c>
      <c r="B4" s="5" t="n">
        <v>-62575.05</v>
      </c>
      <c r="C4" s="6" t="n">
        <v>-0.08307197598501612</v>
      </c>
    </row>
    <row r="5">
      <c r="A5" s="19">
        <f> MARGEN BRUTO</f>
        <v/>
      </c>
      <c r="B5" s="20" t="n">
        <v>690688</v>
      </c>
      <c r="C5" s="6" t="n">
        <v>0.9169280240149839</v>
      </c>
    </row>
    <row r="6">
      <c r="A6" s="4" t="inlineStr">
        <is>
          <t>(-) Nóminas</t>
        </is>
      </c>
      <c r="B6" s="5" t="n">
        <v>-325053.13</v>
      </c>
      <c r="C6" s="6" t="n">
        <v>-0.4315267156672559</v>
      </c>
    </row>
    <row r="7">
      <c r="A7" s="4" t="inlineStr">
        <is>
          <t>(-) Gastos Operativos</t>
        </is>
      </c>
      <c r="B7" s="5" t="n">
        <v>-154513.26</v>
      </c>
      <c r="C7" s="6" t="n">
        <v>-0.2051252348034329</v>
      </c>
    </row>
    <row r="8">
      <c r="A8" s="19">
        <f> EBITDA</f>
        <v/>
      </c>
      <c r="B8" s="20" t="n">
        <v>211121.61</v>
      </c>
      <c r="C8" s="6" t="n">
        <v>0.280276073544295</v>
      </c>
    </row>
    <row r="9">
      <c r="A9" s="4" t="inlineStr">
        <is>
          <t>(-) Amortizaciones</t>
        </is>
      </c>
      <c r="B9" s="5" t="n">
        <v>-6280.08</v>
      </c>
      <c r="C9" s="6" t="n">
        <v>-0.008337167208719449</v>
      </c>
    </row>
    <row r="10">
      <c r="A10" s="19">
        <f> EBIT</f>
        <v/>
      </c>
      <c r="B10" s="20" t="n">
        <v>204841.53</v>
      </c>
      <c r="C10" s="6" t="n">
        <v>0.2719389063355756</v>
      </c>
    </row>
    <row r="11">
      <c r="A11" s="8" t="inlineStr">
        <is>
          <t>(-) Gastos Financieros</t>
        </is>
      </c>
      <c r="B11" s="9" t="n">
        <v>-262583.36</v>
      </c>
      <c r="C11" s="10" t="n">
        <v>-0.3485945049342324</v>
      </c>
    </row>
    <row r="12">
      <c r="A12" s="21">
        <f> RESULTADO FINAL</f>
        <v/>
      </c>
      <c r="B12" s="22" t="n">
        <v>-57741.83000000005</v>
      </c>
      <c r="C12" s="10" t="n">
        <v>-0.07665559859865692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1a1a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2" t="inlineStr">
        <is>
          <t>SIMULADOR DE ESCENARIOS — TechAcces SL</t>
        </is>
      </c>
    </row>
    <row r="2">
      <c r="A2" s="3" t="inlineStr">
        <is>
          <t>Métrica</t>
        </is>
      </c>
      <c r="B2" s="3" t="inlineStr">
        <is>
          <t>Base 2024</t>
        </is>
      </c>
      <c r="C2" s="3" t="inlineStr">
        <is>
          <t>S1: Refinanciación</t>
        </is>
      </c>
      <c r="D2" s="3" t="inlineStr">
        <is>
          <t>S2: +Optimización</t>
        </is>
      </c>
      <c r="E2" s="3" t="inlineStr">
        <is>
          <t>S3: +Ventas 15%</t>
        </is>
      </c>
    </row>
    <row r="3">
      <c r="A3" s="17" t="inlineStr">
        <is>
          <t>Ventas</t>
        </is>
      </c>
      <c r="B3" s="5" t="n">
        <v>753263.05</v>
      </c>
      <c r="C3" s="5" t="n">
        <v>753263.05</v>
      </c>
      <c r="D3" s="5" t="n">
        <v>753263.05</v>
      </c>
      <c r="E3" s="5" t="n">
        <v>866252.5074999999</v>
      </c>
    </row>
    <row r="4">
      <c r="A4" s="17" t="inlineStr">
        <is>
          <t>Margen Bruto</t>
        </is>
      </c>
      <c r="B4" s="5" t="n">
        <v>690688</v>
      </c>
      <c r="C4" s="5" t="n">
        <v>690688</v>
      </c>
      <c r="D4" s="5" t="n">
        <v>696945.505</v>
      </c>
      <c r="E4" s="5" t="n">
        <v>809934.9624999999</v>
      </c>
    </row>
    <row r="5">
      <c r="A5" s="17" t="inlineStr">
        <is>
          <t>EBITDA</t>
        </is>
      </c>
      <c r="B5" s="5" t="n">
        <v>211121.61</v>
      </c>
      <c r="C5" s="5" t="n">
        <v>211121.61</v>
      </c>
      <c r="D5" s="5" t="n">
        <v>225104.778</v>
      </c>
      <c r="E5" s="5" t="n">
        <v>338094.2354999999</v>
      </c>
    </row>
    <row r="6">
      <c r="A6" s="17" t="inlineStr">
        <is>
          <t>Gastos Financ.</t>
        </is>
      </c>
      <c r="B6" s="5" t="n">
        <v>262583.36</v>
      </c>
      <c r="C6" s="5" t="n">
        <v>183808.352</v>
      </c>
      <c r="D6" s="5" t="n">
        <v>183808.352</v>
      </c>
      <c r="E6" s="5" t="n">
        <v>183808.352</v>
      </c>
    </row>
    <row r="7">
      <c r="A7" s="17" t="inlineStr">
        <is>
          <t>Resultado Final</t>
        </is>
      </c>
      <c r="B7" s="22" t="n">
        <v>-57741.82999999999</v>
      </c>
      <c r="C7" s="20" t="n">
        <v>21033.17800000001</v>
      </c>
      <c r="D7" s="20" t="n">
        <v>35016.34600000002</v>
      </c>
      <c r="E7" s="20" t="n">
        <v>148005.8034999999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f4444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2" t="inlineStr">
        <is>
          <t>PROYECCIÓN DE TESORERÍA MENSUAL 2024</t>
        </is>
      </c>
    </row>
    <row r="2">
      <c r="A2" s="3" t="inlineStr">
        <is>
          <t>Mes</t>
        </is>
      </c>
      <c r="B2" s="3" t="inlineStr">
        <is>
          <t>Entradas</t>
        </is>
      </c>
      <c r="C2" s="3" t="inlineStr">
        <is>
          <t>Salidas</t>
        </is>
      </c>
      <c r="D2" s="3" t="inlineStr">
        <is>
          <t>Flujo Neto</t>
        </is>
      </c>
      <c r="E2" s="3" t="inlineStr">
        <is>
          <t>Acumulado</t>
        </is>
      </c>
    </row>
    <row r="3">
      <c r="A3" t="inlineStr">
        <is>
          <t>Ene</t>
        </is>
      </c>
      <c r="B3" s="14" t="n">
        <v>30536.38</v>
      </c>
      <c r="C3" s="14" t="n">
        <v>207503.71</v>
      </c>
      <c r="D3" s="22" t="n">
        <v>-176967.33</v>
      </c>
      <c r="E3" s="22" t="n">
        <v>-176967.33</v>
      </c>
    </row>
    <row r="4">
      <c r="A4" t="inlineStr">
        <is>
          <t>Feb</t>
        </is>
      </c>
      <c r="B4" s="14" t="n">
        <v>72529.41</v>
      </c>
      <c r="C4" s="14" t="n">
        <v>83375.49000000001</v>
      </c>
      <c r="D4" s="22" t="n">
        <v>-10846.08</v>
      </c>
      <c r="E4" s="22" t="n">
        <v>-187813.41</v>
      </c>
    </row>
    <row r="5">
      <c r="A5" t="inlineStr">
        <is>
          <t>Mar</t>
        </is>
      </c>
      <c r="B5" s="14" t="n">
        <v>24558.93</v>
      </c>
      <c r="C5" s="14" t="n">
        <v>48628.43</v>
      </c>
      <c r="D5" s="22" t="n">
        <v>-24069.5</v>
      </c>
      <c r="E5" s="22" t="n">
        <v>-211882.91</v>
      </c>
    </row>
    <row r="6">
      <c r="A6" t="inlineStr">
        <is>
          <t>Abr</t>
        </is>
      </c>
      <c r="B6" s="14" t="n">
        <v>46520.52</v>
      </c>
      <c r="C6" s="14" t="n">
        <v>60640.91</v>
      </c>
      <c r="D6" s="22" t="n">
        <v>-14120.39000000001</v>
      </c>
      <c r="E6" s="22" t="n">
        <v>-226003.3</v>
      </c>
    </row>
    <row r="7">
      <c r="A7" t="inlineStr">
        <is>
          <t>May</t>
        </is>
      </c>
      <c r="B7" s="14" t="n">
        <v>26494.06</v>
      </c>
      <c r="C7" s="14" t="n">
        <v>61641.12</v>
      </c>
      <c r="D7" s="22" t="n">
        <v>-35147.06</v>
      </c>
      <c r="E7" s="22" t="n">
        <v>-261150.36</v>
      </c>
    </row>
    <row r="8">
      <c r="A8" t="inlineStr">
        <is>
          <t>Jun</t>
        </is>
      </c>
      <c r="B8" s="14" t="n">
        <v>26443.95</v>
      </c>
      <c r="C8" s="14" t="n">
        <v>67337.39</v>
      </c>
      <c r="D8" s="22" t="n">
        <v>-40893.44</v>
      </c>
      <c r="E8" s="22" t="n">
        <v>-302043.8</v>
      </c>
    </row>
    <row r="9">
      <c r="A9" t="inlineStr">
        <is>
          <t>Jul</t>
        </is>
      </c>
      <c r="B9" s="14" t="n">
        <v>73931.61</v>
      </c>
      <c r="C9" s="14" t="n">
        <v>96430.23</v>
      </c>
      <c r="D9" s="22" t="n">
        <v>-22498.62</v>
      </c>
      <c r="E9" s="22" t="n">
        <v>-324542.42</v>
      </c>
    </row>
    <row r="10">
      <c r="A10" t="inlineStr">
        <is>
          <t>Ago</t>
        </is>
      </c>
      <c r="B10" s="14" t="n">
        <v>22868.76</v>
      </c>
      <c r="C10" s="14" t="n">
        <v>53961.05</v>
      </c>
      <c r="D10" s="22" t="n">
        <v>-31092.29</v>
      </c>
      <c r="E10" s="22" t="n">
        <v>-355634.71</v>
      </c>
    </row>
    <row r="11">
      <c r="A11" t="inlineStr">
        <is>
          <t>Sep</t>
        </is>
      </c>
      <c r="B11" s="14" t="n">
        <v>56795.43</v>
      </c>
      <c r="C11" s="14" t="n">
        <v>56465.8</v>
      </c>
      <c r="D11" s="20" t="n">
        <v>329.6300000000047</v>
      </c>
      <c r="E11" s="22" t="n">
        <v>-355305.08</v>
      </c>
    </row>
    <row r="12">
      <c r="A12" t="inlineStr">
        <is>
          <t>Oct</t>
        </is>
      </c>
      <c r="B12" s="14" t="n">
        <v>58202.77</v>
      </c>
      <c r="C12" s="14" t="n">
        <v>68339.58</v>
      </c>
      <c r="D12" s="22" t="n">
        <v>-10136.81</v>
      </c>
      <c r="E12" s="22" t="n">
        <v>-365441.89</v>
      </c>
    </row>
    <row r="13">
      <c r="A13" t="inlineStr">
        <is>
          <t>Nov</t>
        </is>
      </c>
      <c r="B13" s="14" t="n">
        <v>85565.34999999999</v>
      </c>
      <c r="C13" s="14" t="n">
        <v>157916.69</v>
      </c>
      <c r="D13" s="22" t="n">
        <v>-72351.34000000001</v>
      </c>
      <c r="E13" s="22" t="n">
        <v>-437793.23</v>
      </c>
    </row>
    <row r="14">
      <c r="A14" t="inlineStr">
        <is>
          <t>Dic</t>
        </is>
      </c>
      <c r="B14" s="14" t="n">
        <v>45117.68</v>
      </c>
      <c r="C14" s="14" t="n">
        <v>175913.02</v>
      </c>
      <c r="D14" s="22" t="n">
        <v>-130795.34</v>
      </c>
      <c r="E14" s="22" t="n">
        <v>-568588.5699999999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2026-05-10T17:26:59Z</dcterms:created>
  <dcterms:modified xmlns:dcterms="http://purl.org/dc/terms/" xmlns:xsi="http://www.w3.org/2001/XMLSchema-instance" xsi:type="dcterms:W3CDTF">2026-05-10T17:26:59Z</dcterms:modified>
</cp:coreProperties>
</file>